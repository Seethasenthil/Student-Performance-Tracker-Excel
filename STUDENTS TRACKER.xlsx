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\excel\"/>
    </mc:Choice>
  </mc:AlternateContent>
  <xr:revisionPtr revIDLastSave="0" documentId="13_ncr:1_{D167F479-2986-4959-A2EF-A2160CBC0112}" xr6:coauthVersionLast="47" xr6:coauthVersionMax="47" xr10:uidLastSave="{00000000-0000-0000-0000-000000000000}"/>
  <bookViews>
    <workbookView xWindow="-108" yWindow="-108" windowWidth="23256" windowHeight="12456" xr2:uid="{8A3C9F90-8680-4243-82A4-9402563F8F46}"/>
  </bookViews>
  <sheets>
    <sheet name="Student Data" sheetId="1" r:id="rId1"/>
    <sheet name="Visualisation" sheetId="3" r:id="rId2"/>
    <sheet name="Pivot table" sheetId="4" r:id="rId3"/>
    <sheet name="Mapping" sheetId="5" r:id="rId4"/>
  </sheets>
  <definedNames>
    <definedName name="_xlnm._FilterDatabase" localSheetId="0" hidden="1">'Student Data'!$A$2:$H$22</definedName>
  </definedNames>
  <calcPr calcId="191029"/>
  <pivotCaches>
    <pivotCache cacheId="2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5" l="1"/>
  <c r="D7" i="5"/>
  <c r="D6" i="5"/>
  <c r="D5" i="5"/>
  <c r="D4" i="5"/>
  <c r="F21" i="1"/>
  <c r="F11" i="1"/>
  <c r="F14" i="1"/>
  <c r="F22" i="1"/>
  <c r="F10" i="1"/>
  <c r="F15" i="1"/>
  <c r="F13" i="1"/>
  <c r="F20" i="1"/>
  <c r="F16" i="1"/>
  <c r="F17" i="1"/>
  <c r="F7" i="1"/>
  <c r="F3" i="1"/>
  <c r="F4" i="1"/>
  <c r="F8" i="1"/>
  <c r="F9" i="1"/>
  <c r="F5" i="1"/>
  <c r="F19" i="1"/>
  <c r="F18" i="1"/>
  <c r="F6" i="1"/>
  <c r="F12" i="1"/>
  <c r="H13" i="1" l="1"/>
  <c r="H19" i="1"/>
  <c r="H11" i="1"/>
  <c r="H6" i="1"/>
  <c r="H14" i="1"/>
  <c r="H17" i="1"/>
  <c r="H21" i="1"/>
  <c r="H7" i="1"/>
  <c r="H16" i="1"/>
  <c r="H18" i="1"/>
  <c r="H22" i="1"/>
  <c r="H3" i="1"/>
  <c r="H8" i="1"/>
  <c r="H15" i="1"/>
  <c r="H20" i="1"/>
  <c r="H4" i="1"/>
  <c r="G13" i="1"/>
  <c r="G19" i="1"/>
  <c r="G11" i="1"/>
  <c r="G6" i="1"/>
  <c r="G14" i="1"/>
  <c r="G17" i="1"/>
  <c r="G21" i="1"/>
  <c r="G7" i="1"/>
  <c r="G16" i="1"/>
  <c r="G18" i="1"/>
  <c r="G22" i="1"/>
  <c r="G3" i="1"/>
  <c r="G8" i="1"/>
  <c r="G15" i="1"/>
  <c r="G20" i="1"/>
  <c r="G4" i="1"/>
  <c r="H9" i="1"/>
  <c r="H12" i="1"/>
  <c r="H5" i="1"/>
  <c r="H10" i="1"/>
  <c r="G9" i="1"/>
  <c r="G12" i="1"/>
  <c r="G5" i="1"/>
  <c r="G10" i="1"/>
</calcChain>
</file>

<file path=xl/sharedStrings.xml><?xml version="1.0" encoding="utf-8"?>
<sst xmlns="http://schemas.openxmlformats.org/spreadsheetml/2006/main" count="81" uniqueCount="52">
  <si>
    <t>Student Name</t>
  </si>
  <si>
    <t>Roll Number</t>
  </si>
  <si>
    <t>Subject</t>
  </si>
  <si>
    <t>Marks Obtained</t>
  </si>
  <si>
    <t>Total Marks</t>
  </si>
  <si>
    <t>Percentage (%)</t>
  </si>
  <si>
    <t>Grade</t>
  </si>
  <si>
    <t>Result</t>
  </si>
  <si>
    <t>Arun</t>
  </si>
  <si>
    <t>Mathematics</t>
  </si>
  <si>
    <t>A</t>
  </si>
  <si>
    <t>Bharathi</t>
  </si>
  <si>
    <t>B</t>
  </si>
  <si>
    <t>Chitra</t>
  </si>
  <si>
    <t>C</t>
  </si>
  <si>
    <t>Dinesh</t>
  </si>
  <si>
    <t>F</t>
  </si>
  <si>
    <t>Elango</t>
  </si>
  <si>
    <t>Farzana</t>
  </si>
  <si>
    <t>Science</t>
  </si>
  <si>
    <t>Gokul</t>
  </si>
  <si>
    <t>Harini</t>
  </si>
  <si>
    <t>Indhu</t>
  </si>
  <si>
    <t>D</t>
  </si>
  <si>
    <t>Jagan</t>
  </si>
  <si>
    <t>Karthik</t>
  </si>
  <si>
    <t>English</t>
  </si>
  <si>
    <t>Lavanya</t>
  </si>
  <si>
    <t>Manoj</t>
  </si>
  <si>
    <t>Nisha</t>
  </si>
  <si>
    <t>Omprakash</t>
  </si>
  <si>
    <t>Priya</t>
  </si>
  <si>
    <t>Social Science</t>
  </si>
  <si>
    <t>Rahul</t>
  </si>
  <si>
    <t>Shalini</t>
  </si>
  <si>
    <t>Computer Science</t>
  </si>
  <si>
    <t>Tamilselvan</t>
  </si>
  <si>
    <t>Usha</t>
  </si>
  <si>
    <t>Count</t>
  </si>
  <si>
    <t>Row Labels</t>
  </si>
  <si>
    <t>Grand Total</t>
  </si>
  <si>
    <t>Average of Percentage (%)</t>
  </si>
  <si>
    <t>Teacher</t>
  </si>
  <si>
    <t>Mr. Kumar</t>
  </si>
  <si>
    <t>Ms. Priya</t>
  </si>
  <si>
    <t>Mrs. Anitha</t>
  </si>
  <si>
    <t>Mr. Ravi</t>
  </si>
  <si>
    <t>Ms. Deepika</t>
  </si>
  <si>
    <t>SUBJECT TEACHER MAPPING</t>
  </si>
  <si>
    <t>SociAl Science</t>
  </si>
  <si>
    <t>computer science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</si>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</sst>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3" borderId="1" xfId="0" applyFont="1" applyFill="1" applyBorder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'Student Data'!$D$2</c:f>
              <c:strCache>
                <c:ptCount val="1"/>
                <c:pt idx="0">
                  <c:v>Marks Obtained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'Student Data'!$D$3:$D$23</c:f>
              <c:numCache>
                <c:formatCode>General</c:formatCode>
                <c:ptCount val="21"/>
                <c:pt idx="0">
                  <c:v>97</c:v>
                </c:pt>
                <c:pt idx="1">
                  <c:v>95</c:v>
                </c:pt>
                <c:pt idx="2">
                  <c:v>94</c:v>
                </c:pt>
                <c:pt idx="3">
                  <c:v>91</c:v>
                </c:pt>
                <c:pt idx="4">
                  <c:v>88</c:v>
                </c:pt>
                <c:pt idx="5">
                  <c:v>84</c:v>
                </c:pt>
                <c:pt idx="6">
                  <c:v>82</c:v>
                </c:pt>
                <c:pt idx="7">
                  <c:v>77</c:v>
                </c:pt>
                <c:pt idx="8">
                  <c:v>75</c:v>
                </c:pt>
                <c:pt idx="9">
                  <c:v>73</c:v>
                </c:pt>
                <c:pt idx="10">
                  <c:v>68</c:v>
                </c:pt>
                <c:pt idx="11">
                  <c:v>65</c:v>
                </c:pt>
                <c:pt idx="12">
                  <c:v>62</c:v>
                </c:pt>
                <c:pt idx="13">
                  <c:v>58</c:v>
                </c:pt>
                <c:pt idx="14">
                  <c:v>45</c:v>
                </c:pt>
                <c:pt idx="15">
                  <c:v>41</c:v>
                </c:pt>
                <c:pt idx="16">
                  <c:v>39</c:v>
                </c:pt>
                <c:pt idx="17">
                  <c:v>36</c:v>
                </c:pt>
                <c:pt idx="18">
                  <c:v>32</c:v>
                </c:pt>
                <c:pt idx="1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F-4FD2-90DD-3CF0116A2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331465568"/>
        <c:axId val="331466048"/>
      </c:barChart>
      <c:catAx>
        <c:axId val="33146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466048"/>
        <c:crosses val="autoZero"/>
        <c:auto val="1"/>
        <c:lblAlgn val="ctr"/>
        <c:lblOffset val="100"/>
        <c:noMultiLvlLbl val="0"/>
      </c:catAx>
      <c:valAx>
        <c:axId val="33146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46556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Grade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'Student Data'!$L$4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29-4362-8FDD-862FFAF5323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29-4362-8FDD-862FFAF5323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329-4362-8FDD-862FFAF5323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329-4362-8FDD-862FFAF5323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329-4362-8FDD-862FFAF532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'Student Data'!$K$5:$K$9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'Student Data'!$L$5:$L$9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329-4362-8FDD-862FFAF5323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9</xdr:col>
      <xdr:colOff>304800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EB3DDF-AEEF-4EE3-94D9-609BD25ED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4</xdr:row>
      <xdr:rowOff>38100</xdr:rowOff>
    </xdr:from>
    <xdr:to>
      <xdr:col>20</xdr:col>
      <xdr:colOff>419100</xdr:colOff>
      <xdr:row>19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36C3E6-3C9D-4241-B8FD-58FF3659E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eS" refreshedDate="46194.984068287034" createdVersion="8" refreshedVersion="8" minRefreshableVersion="3" recordCount="20" xr:uid="{21BB121A-FDA9-40CE-80F6-D4C361086798}">
  <cacheSource type="worksheet">
    <worksheetSource ref="A2:H22" sheet="Student Data"/>
  </cacheSource>
  <cacheFields count="8">
    <cacheField name="Student Name" numFmtId="0">
      <sharedItems/>
    </cacheField>
    <cacheField name="Roll Number" numFmtId="0">
      <sharedItems containsSemiMixedTypes="0" containsString="0" containsNumber="1" containsInteger="1" minValue="101" maxValue="120"/>
    </cacheField>
    <cacheField name="Subject" numFmtId="0">
      <sharedItems count="5">
        <s v="Mathematics"/>
        <s v="Science"/>
        <s v="English"/>
        <s v="Social Science"/>
        <s v="Computer Science"/>
      </sharedItems>
    </cacheField>
    <cacheField name="Marks Obtained" numFmtId="0">
      <sharedItems containsSemiMixedTypes="0" containsString="0" containsNumber="1" containsInteger="1" minValue="28" maxValue="97"/>
    </cacheField>
    <cacheField name="Total Marks" numFmtId="0">
      <sharedItems containsSemiMixedTypes="0" containsString="0" containsNumber="1" containsInteger="1" minValue="100" maxValue="100"/>
    </cacheField>
    <cacheField name="Percentage (%)" numFmtId="0">
      <sharedItems containsSemiMixedTypes="0" containsString="0" containsNumber="1" minValue="28.000000000000004" maxValue="97"/>
    </cacheField>
    <cacheField name="Grade" numFmtId="0">
      <sharedItems/>
    </cacheField>
    <cacheField name="Resul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Arun"/>
    <n v="101"/>
    <x v="0"/>
    <n v="95"/>
    <n v="100"/>
    <n v="95"/>
    <s v="A"/>
    <s v="Pass"/>
  </r>
  <r>
    <s v="Bharathi"/>
    <n v="102"/>
    <x v="0"/>
    <n v="82"/>
    <n v="100"/>
    <n v="82"/>
    <s v="B"/>
    <s v="Pass"/>
  </r>
  <r>
    <s v="Chitra"/>
    <n v="103"/>
    <x v="0"/>
    <n v="68"/>
    <n v="100"/>
    <n v="68"/>
    <s v="C"/>
    <s v="Pass"/>
  </r>
  <r>
    <s v="Dinesh"/>
    <n v="104"/>
    <x v="0"/>
    <n v="39"/>
    <n v="100"/>
    <n v="39"/>
    <s v="F"/>
    <s v="Fail"/>
  </r>
  <r>
    <s v="Elango"/>
    <n v="105"/>
    <x v="0"/>
    <n v="75"/>
    <n v="100"/>
    <n v="75"/>
    <s v="B"/>
    <s v="Pass"/>
  </r>
  <r>
    <s v="Farzana"/>
    <n v="106"/>
    <x v="1"/>
    <n v="91"/>
    <n v="100"/>
    <n v="91"/>
    <s v="A"/>
    <s v="Pass"/>
  </r>
  <r>
    <s v="Gokul"/>
    <n v="107"/>
    <x v="1"/>
    <n v="73"/>
    <n v="100"/>
    <n v="73"/>
    <s v="C"/>
    <s v="Pass"/>
  </r>
  <r>
    <s v="Harini"/>
    <n v="108"/>
    <x v="1"/>
    <n v="65"/>
    <n v="100"/>
    <n v="65"/>
    <s v="C"/>
    <s v="Pass"/>
  </r>
  <r>
    <s v="Indhu"/>
    <n v="109"/>
    <x v="1"/>
    <n v="45"/>
    <n v="100"/>
    <n v="45"/>
    <s v="D"/>
    <s v="Pass"/>
  </r>
  <r>
    <s v="Jagan"/>
    <n v="110"/>
    <x v="1"/>
    <n v="32"/>
    <n v="100"/>
    <n v="32"/>
    <s v="F"/>
    <s v="Fail"/>
  </r>
  <r>
    <s v="Karthik"/>
    <n v="111"/>
    <x v="2"/>
    <n v="88"/>
    <n v="100"/>
    <n v="88"/>
    <s v="B"/>
    <s v="Pass"/>
  </r>
  <r>
    <s v="Lavanya"/>
    <n v="112"/>
    <x v="2"/>
    <n v="94"/>
    <n v="100"/>
    <n v="94"/>
    <s v="A"/>
    <s v="Pass"/>
  </r>
  <r>
    <s v="Manoj"/>
    <n v="113"/>
    <x v="2"/>
    <n v="58"/>
    <n v="100"/>
    <n v="57.999999999999993"/>
    <s v="D"/>
    <s v="Pass"/>
  </r>
  <r>
    <s v="Nisha"/>
    <n v="114"/>
    <x v="2"/>
    <n v="41"/>
    <n v="100"/>
    <n v="41"/>
    <s v="D"/>
    <s v="Pass"/>
  </r>
  <r>
    <s v="Omprakash"/>
    <n v="115"/>
    <x v="2"/>
    <n v="28"/>
    <n v="100"/>
    <n v="28.000000000000004"/>
    <s v="F"/>
    <s v="Fail"/>
  </r>
  <r>
    <s v="Priya"/>
    <n v="116"/>
    <x v="3"/>
    <n v="97"/>
    <n v="100"/>
    <n v="97"/>
    <s v="A"/>
    <s v="Pass"/>
  </r>
  <r>
    <s v="Rahul"/>
    <n v="117"/>
    <x v="3"/>
    <n v="77"/>
    <n v="100"/>
    <n v="77"/>
    <s v="B"/>
    <s v="Pass"/>
  </r>
  <r>
    <s v="Shalini"/>
    <n v="118"/>
    <x v="4"/>
    <n v="84"/>
    <n v="100"/>
    <n v="84"/>
    <s v="B"/>
    <s v="Pass"/>
  </r>
  <r>
    <s v="Tamilselvan"/>
    <n v="119"/>
    <x v="4"/>
    <n v="62"/>
    <n v="100"/>
    <n v="62"/>
    <s v="C"/>
    <s v="Pass"/>
  </r>
  <r>
    <s v="Usha"/>
    <n v="120"/>
    <x v="4"/>
    <n v="36"/>
    <n v="100"/>
    <n v="36"/>
    <s v="F"/>
    <s v="Fai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CA300-D444-41DD-A590-628616D8058F}" name="PivotTable20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8"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ercentage (%)" fld="5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C42E-0DC1-430C-8428-1EE2B1FB82A9}">
  <sheetPr>
    <tabColor theme="4" tint="-0.249977111117893"/>
  </sheetPr>
  <dimension ref="A2:L22"/>
  <sheetViews>
    <sheetView tabSelected="1" workbookViewId="0">
      <selection activeCell="J14" sqref="J14"/>
    </sheetView>
  </sheetViews>
  <sheetFormatPr defaultRowHeight="14.4" x14ac:dyDescent="0.3"/>
  <cols>
    <col min="1" max="1" width="15.77734375" customWidth="1"/>
    <col min="2" max="2" width="11.33203125" customWidth="1"/>
    <col min="3" max="3" width="15.88671875" customWidth="1"/>
    <col min="4" max="4" width="13.77734375" customWidth="1"/>
    <col min="5" max="5" width="11.88671875" customWidth="1"/>
    <col min="6" max="6" width="12.21875" customWidth="1"/>
  </cols>
  <sheetData>
    <row r="2" spans="1:12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12" x14ac:dyDescent="0.3">
      <c r="A3" s="4" t="s">
        <v>31</v>
      </c>
      <c r="B3" s="4">
        <v>116</v>
      </c>
      <c r="C3" s="4" t="s">
        <v>32</v>
      </c>
      <c r="D3" s="4">
        <v>97</v>
      </c>
      <c r="E3" s="4">
        <v>100</v>
      </c>
      <c r="F3" s="4">
        <f>(D3/E3)*100</f>
        <v>97</v>
      </c>
      <c r="G3" s="4" t="str">
        <f>IF(F3&gt;=90,"A",IF(F3&gt;=75,"B",IF(F3&gt;=60,"C",IF(F3&gt;=40,"D","F"))))</f>
        <v>A</v>
      </c>
      <c r="H3" s="4" t="str">
        <f>IF(F3&gt;=40,"Pass","Fail")</f>
        <v>Pass</v>
      </c>
    </row>
    <row r="4" spans="1:12" x14ac:dyDescent="0.3">
      <c r="A4" s="4" t="s">
        <v>8</v>
      </c>
      <c r="B4" s="4">
        <v>101</v>
      </c>
      <c r="C4" s="4" t="s">
        <v>9</v>
      </c>
      <c r="D4" s="4">
        <v>95</v>
      </c>
      <c r="E4" s="4">
        <v>100</v>
      </c>
      <c r="F4" s="4">
        <f>(D4/E4)*100</f>
        <v>95</v>
      </c>
      <c r="G4" s="4" t="str">
        <f>IF(F4&gt;=90,"A",IF(F4&gt;=75,"B",IF(F4&gt;=60,"C",IF(F4&gt;=40,"D","F"))))</f>
        <v>A</v>
      </c>
      <c r="H4" s="4" t="str">
        <f>IF(F4&gt;=40,"Pass","Fail")</f>
        <v>Pass</v>
      </c>
      <c r="K4" s="8" t="s">
        <v>6</v>
      </c>
      <c r="L4" s="8" t="s">
        <v>38</v>
      </c>
    </row>
    <row r="5" spans="1:12" x14ac:dyDescent="0.3">
      <c r="A5" s="4" t="s">
        <v>27</v>
      </c>
      <c r="B5" s="4">
        <v>112</v>
      </c>
      <c r="C5" s="4" t="s">
        <v>26</v>
      </c>
      <c r="D5" s="4">
        <v>94</v>
      </c>
      <c r="E5" s="4">
        <v>100</v>
      </c>
      <c r="F5" s="4">
        <f>(D5/E5)*100</f>
        <v>94</v>
      </c>
      <c r="G5" s="4" t="str">
        <f>IF(F5&gt;=90,"A",IF(F5&gt;=75,"B",IF(F5&gt;=60,"C",IF(F5&gt;=40,"D","F"))))</f>
        <v>A</v>
      </c>
      <c r="H5" s="4" t="str">
        <f>IF(F5&gt;=40,"Pass","Fail")</f>
        <v>Pass</v>
      </c>
      <c r="K5" s="7" t="s">
        <v>10</v>
      </c>
      <c r="L5" s="7">
        <v>4</v>
      </c>
    </row>
    <row r="6" spans="1:12" x14ac:dyDescent="0.3">
      <c r="A6" s="4" t="s">
        <v>18</v>
      </c>
      <c r="B6" s="4">
        <v>106</v>
      </c>
      <c r="C6" s="4" t="s">
        <v>19</v>
      </c>
      <c r="D6" s="4">
        <v>91</v>
      </c>
      <c r="E6" s="4">
        <v>100</v>
      </c>
      <c r="F6" s="4">
        <f>(D6/E6)*100</f>
        <v>91</v>
      </c>
      <c r="G6" s="4" t="str">
        <f>IF(F6&gt;=90,"A",IF(F6&gt;=75,"B",IF(F6&gt;=60,"C",IF(F6&gt;=40,"D","F"))))</f>
        <v>A</v>
      </c>
      <c r="H6" s="4" t="str">
        <f>IF(F6&gt;=40,"Pass","Fail")</f>
        <v>Pass</v>
      </c>
      <c r="K6" s="7" t="s">
        <v>12</v>
      </c>
      <c r="L6" s="7">
        <v>6</v>
      </c>
    </row>
    <row r="7" spans="1:12" x14ac:dyDescent="0.3">
      <c r="A7" s="4" t="s">
        <v>25</v>
      </c>
      <c r="B7" s="4">
        <v>111</v>
      </c>
      <c r="C7" s="4" t="s">
        <v>26</v>
      </c>
      <c r="D7" s="4">
        <v>88</v>
      </c>
      <c r="E7" s="4">
        <v>100</v>
      </c>
      <c r="F7" s="4">
        <f>(D7/E7)*100</f>
        <v>88</v>
      </c>
      <c r="G7" s="4" t="str">
        <f>IF(F7&gt;=90,"A",IF(F7&gt;=75,"B",IF(F7&gt;=60,"C",IF(F7&gt;=40,"D","F"))))</f>
        <v>B</v>
      </c>
      <c r="H7" s="4" t="str">
        <f>IF(F7&gt;=40,"Pass","Fail")</f>
        <v>Pass</v>
      </c>
      <c r="K7" s="7" t="s">
        <v>14</v>
      </c>
      <c r="L7" s="7">
        <v>4</v>
      </c>
    </row>
    <row r="8" spans="1:12" x14ac:dyDescent="0.3">
      <c r="A8" s="4" t="s">
        <v>34</v>
      </c>
      <c r="B8" s="4">
        <v>118</v>
      </c>
      <c r="C8" s="4" t="s">
        <v>35</v>
      </c>
      <c r="D8" s="4">
        <v>84</v>
      </c>
      <c r="E8" s="4">
        <v>100</v>
      </c>
      <c r="F8" s="4">
        <f>(D8/E8)*100</f>
        <v>84</v>
      </c>
      <c r="G8" s="4" t="str">
        <f>IF(F8&gt;=90,"A",IF(F8&gt;=75,"B",IF(F8&gt;=60,"C",IF(F8&gt;=40,"D","F"))))</f>
        <v>B</v>
      </c>
      <c r="H8" s="4" t="str">
        <f>IF(F8&gt;=40,"Pass","Fail")</f>
        <v>Pass</v>
      </c>
      <c r="K8" s="7" t="s">
        <v>23</v>
      </c>
      <c r="L8" s="7">
        <v>3</v>
      </c>
    </row>
    <row r="9" spans="1:12" x14ac:dyDescent="0.3">
      <c r="A9" s="4" t="s">
        <v>11</v>
      </c>
      <c r="B9" s="4">
        <v>102</v>
      </c>
      <c r="C9" s="4" t="s">
        <v>9</v>
      </c>
      <c r="D9" s="4">
        <v>82</v>
      </c>
      <c r="E9" s="4">
        <v>100</v>
      </c>
      <c r="F9" s="4">
        <f>(D9/E9)*100</f>
        <v>82</v>
      </c>
      <c r="G9" s="4" t="str">
        <f>IF(F9&gt;=90,"A",IF(F9&gt;=75,"B",IF(F9&gt;=60,"C",IF(F9&gt;=40,"D","F"))))</f>
        <v>B</v>
      </c>
      <c r="H9" s="4" t="str">
        <f>IF(F9&gt;=40,"Pass","Fail")</f>
        <v>Pass</v>
      </c>
      <c r="K9" s="7" t="s">
        <v>16</v>
      </c>
      <c r="L9" s="7">
        <v>4</v>
      </c>
    </row>
    <row r="10" spans="1:12" x14ac:dyDescent="0.3">
      <c r="A10" s="4" t="s">
        <v>33</v>
      </c>
      <c r="B10" s="4">
        <v>117</v>
      </c>
      <c r="C10" s="4" t="s">
        <v>32</v>
      </c>
      <c r="D10" s="4">
        <v>77</v>
      </c>
      <c r="E10" s="4">
        <v>100</v>
      </c>
      <c r="F10" s="4">
        <f>(D10/E10)*100</f>
        <v>77</v>
      </c>
      <c r="G10" s="4" t="str">
        <f>IF(F10&gt;=90,"A",IF(F10&gt;=75,"B",IF(F10&gt;=60,"C",IF(F10&gt;=40,"D","F"))))</f>
        <v>B</v>
      </c>
      <c r="H10" s="4" t="str">
        <f>IF(F10&gt;=40,"Pass","Fail")</f>
        <v>Pass</v>
      </c>
    </row>
    <row r="11" spans="1:12" x14ac:dyDescent="0.3">
      <c r="A11" s="4" t="s">
        <v>17</v>
      </c>
      <c r="B11" s="4">
        <v>105</v>
      </c>
      <c r="C11" s="4" t="s">
        <v>9</v>
      </c>
      <c r="D11" s="4">
        <v>75</v>
      </c>
      <c r="E11" s="4">
        <v>100</v>
      </c>
      <c r="F11" s="4">
        <f>(D11/E11)*100</f>
        <v>75</v>
      </c>
      <c r="G11" s="4" t="str">
        <f>IF(F11&gt;=90,"A",IF(F11&gt;=75,"B",IF(F11&gt;=60,"C",IF(F11&gt;=40,"D","F"))))</f>
        <v>B</v>
      </c>
      <c r="H11" s="4" t="str">
        <f>IF(F11&gt;=40,"Pass","Fail")</f>
        <v>Pass</v>
      </c>
    </row>
    <row r="12" spans="1:12" x14ac:dyDescent="0.3">
      <c r="A12" s="4" t="s">
        <v>20</v>
      </c>
      <c r="B12" s="4">
        <v>107</v>
      </c>
      <c r="C12" s="4" t="s">
        <v>19</v>
      </c>
      <c r="D12" s="4">
        <v>73</v>
      </c>
      <c r="E12" s="4">
        <v>100</v>
      </c>
      <c r="F12" s="4">
        <f>(D12/E12)*100</f>
        <v>73</v>
      </c>
      <c r="G12" s="4" t="str">
        <f>IF(F12&gt;=90,"A",IF(F12&gt;=75,"B",IF(F12&gt;=60,"C",IF(F12&gt;=40,"D","F"))))</f>
        <v>C</v>
      </c>
      <c r="H12" s="4" t="str">
        <f>IF(F12&gt;=40,"Pass","Fail")</f>
        <v>Pass</v>
      </c>
    </row>
    <row r="13" spans="1:12" x14ac:dyDescent="0.3">
      <c r="A13" s="4" t="s">
        <v>13</v>
      </c>
      <c r="B13" s="4">
        <v>103</v>
      </c>
      <c r="C13" s="4" t="s">
        <v>9</v>
      </c>
      <c r="D13" s="4">
        <v>68</v>
      </c>
      <c r="E13" s="4">
        <v>100</v>
      </c>
      <c r="F13" s="4">
        <f>(D13/E13)*100</f>
        <v>68</v>
      </c>
      <c r="G13" s="4" t="str">
        <f>IF(F13&gt;=90,"A",IF(F13&gt;=75,"B",IF(F13&gt;=60,"C",IF(F13&gt;=40,"D","F"))))</f>
        <v>C</v>
      </c>
      <c r="H13" s="4" t="str">
        <f>IF(F13&gt;=40,"Pass","Fail")</f>
        <v>Pass</v>
      </c>
    </row>
    <row r="14" spans="1:12" x14ac:dyDescent="0.3">
      <c r="A14" s="4" t="s">
        <v>21</v>
      </c>
      <c r="B14" s="4">
        <v>108</v>
      </c>
      <c r="C14" s="4" t="s">
        <v>19</v>
      </c>
      <c r="D14" s="4">
        <v>65</v>
      </c>
      <c r="E14" s="4">
        <v>100</v>
      </c>
      <c r="F14" s="4">
        <f>(D14/E14)*100</f>
        <v>65</v>
      </c>
      <c r="G14" s="4" t="str">
        <f>IF(F14&gt;=90,"A",IF(F14&gt;=75,"B",IF(F14&gt;=60,"C",IF(F14&gt;=40,"D","F"))))</f>
        <v>C</v>
      </c>
      <c r="H14" s="4" t="str">
        <f>IF(F14&gt;=40,"Pass","Fail")</f>
        <v>Pass</v>
      </c>
    </row>
    <row r="15" spans="1:12" x14ac:dyDescent="0.3">
      <c r="A15" s="4" t="s">
        <v>36</v>
      </c>
      <c r="B15" s="4">
        <v>119</v>
      </c>
      <c r="C15" s="4" t="s">
        <v>35</v>
      </c>
      <c r="D15" s="4">
        <v>62</v>
      </c>
      <c r="E15" s="4">
        <v>100</v>
      </c>
      <c r="F15" s="4">
        <f>(D15/E15)*100</f>
        <v>62</v>
      </c>
      <c r="G15" s="4" t="str">
        <f>IF(F15&gt;=90,"A",IF(F15&gt;=75,"B",IF(F15&gt;=60,"C",IF(F15&gt;=40,"D","F"))))</f>
        <v>C</v>
      </c>
      <c r="H15" s="4" t="str">
        <f>IF(F15&gt;=40,"Pass","Fail")</f>
        <v>Pass</v>
      </c>
    </row>
    <row r="16" spans="1:12" x14ac:dyDescent="0.3">
      <c r="A16" s="4" t="s">
        <v>28</v>
      </c>
      <c r="B16" s="4">
        <v>113</v>
      </c>
      <c r="C16" s="4" t="s">
        <v>26</v>
      </c>
      <c r="D16" s="4">
        <v>58</v>
      </c>
      <c r="E16" s="4">
        <v>100</v>
      </c>
      <c r="F16" s="4">
        <f>(D16/E16)*100</f>
        <v>57.999999999999993</v>
      </c>
      <c r="G16" s="4" t="str">
        <f>IF(F16&gt;=90,"A",IF(F16&gt;=75,"B",IF(F16&gt;=60,"C",IF(F16&gt;=40,"D","F"))))</f>
        <v>D</v>
      </c>
      <c r="H16" s="4" t="str">
        <f>IF(F16&gt;=40,"Pass","Fail")</f>
        <v>Pass</v>
      </c>
    </row>
    <row r="17" spans="1:8" x14ac:dyDescent="0.3">
      <c r="A17" s="4" t="s">
        <v>22</v>
      </c>
      <c r="B17" s="4">
        <v>109</v>
      </c>
      <c r="C17" s="4" t="s">
        <v>19</v>
      </c>
      <c r="D17" s="4">
        <v>45</v>
      </c>
      <c r="E17" s="4">
        <v>100</v>
      </c>
      <c r="F17" s="4">
        <f>(D17/E17)*100</f>
        <v>45</v>
      </c>
      <c r="G17" s="4" t="str">
        <f>IF(F17&gt;=90,"A",IF(F17&gt;=75,"B",IF(F17&gt;=60,"C",IF(F17&gt;=40,"D","F"))))</f>
        <v>D</v>
      </c>
      <c r="H17" s="4" t="str">
        <f>IF(F17&gt;=40,"Pass","Fail")</f>
        <v>Pass</v>
      </c>
    </row>
    <row r="18" spans="1:8" x14ac:dyDescent="0.3">
      <c r="A18" s="4" t="s">
        <v>29</v>
      </c>
      <c r="B18" s="4">
        <v>114</v>
      </c>
      <c r="C18" s="4" t="s">
        <v>26</v>
      </c>
      <c r="D18" s="4">
        <v>41</v>
      </c>
      <c r="E18" s="4">
        <v>100</v>
      </c>
      <c r="F18" s="4">
        <f>(D18/E18)*100</f>
        <v>41</v>
      </c>
      <c r="G18" s="4" t="str">
        <f>IF(F18&gt;=90,"A",IF(F18&gt;=75,"B",IF(F18&gt;=60,"C",IF(F18&gt;=40,"D","F"))))</f>
        <v>D</v>
      </c>
      <c r="H18" s="4" t="str">
        <f>IF(F18&gt;=40,"Pass","Fail")</f>
        <v>Pass</v>
      </c>
    </row>
    <row r="19" spans="1:8" x14ac:dyDescent="0.3">
      <c r="A19" s="4" t="s">
        <v>15</v>
      </c>
      <c r="B19" s="4">
        <v>104</v>
      </c>
      <c r="C19" s="4" t="s">
        <v>9</v>
      </c>
      <c r="D19" s="4">
        <v>39</v>
      </c>
      <c r="E19" s="4">
        <v>100</v>
      </c>
      <c r="F19" s="4">
        <f>(D19/E19)*100</f>
        <v>39</v>
      </c>
      <c r="G19" s="4" t="str">
        <f>IF(F19&gt;=90,"A",IF(F19&gt;=75,"B",IF(F19&gt;=60,"C",IF(F19&gt;=40,"D","F"))))</f>
        <v>F</v>
      </c>
      <c r="H19" s="4" t="str">
        <f>IF(F19&gt;=40,"Pass","Fail")</f>
        <v>Fail</v>
      </c>
    </row>
    <row r="20" spans="1:8" x14ac:dyDescent="0.3">
      <c r="A20" s="4" t="s">
        <v>37</v>
      </c>
      <c r="B20" s="4">
        <v>120</v>
      </c>
      <c r="C20" s="4" t="s">
        <v>35</v>
      </c>
      <c r="D20" s="4">
        <v>36</v>
      </c>
      <c r="E20" s="4">
        <v>100</v>
      </c>
      <c r="F20" s="4">
        <f>(D20/E20)*100</f>
        <v>36</v>
      </c>
      <c r="G20" s="4" t="str">
        <f>IF(F20&gt;=90,"A",IF(F20&gt;=75,"B",IF(F20&gt;=60,"C",IF(F20&gt;=40,"D","F"))))</f>
        <v>F</v>
      </c>
      <c r="H20" s="4" t="str">
        <f>IF(F20&gt;=40,"Pass","Fail")</f>
        <v>Fail</v>
      </c>
    </row>
    <row r="21" spans="1:8" x14ac:dyDescent="0.3">
      <c r="A21" s="4" t="s">
        <v>24</v>
      </c>
      <c r="B21" s="4">
        <v>110</v>
      </c>
      <c r="C21" s="4" t="s">
        <v>19</v>
      </c>
      <c r="D21" s="4">
        <v>32</v>
      </c>
      <c r="E21" s="4">
        <v>100</v>
      </c>
      <c r="F21" s="4">
        <f>(D21/E21)*100</f>
        <v>32</v>
      </c>
      <c r="G21" s="4" t="str">
        <f>IF(F21&gt;=90,"A",IF(F21&gt;=75,"B",IF(F21&gt;=60,"C",IF(F21&gt;=40,"D","F"))))</f>
        <v>F</v>
      </c>
      <c r="H21" s="4" t="str">
        <f>IF(F21&gt;=40,"Pass","Fail")</f>
        <v>Fail</v>
      </c>
    </row>
    <row r="22" spans="1:8" x14ac:dyDescent="0.3">
      <c r="A22" s="4" t="s">
        <v>30</v>
      </c>
      <c r="B22" s="4">
        <v>115</v>
      </c>
      <c r="C22" s="4" t="s">
        <v>26</v>
      </c>
      <c r="D22" s="4">
        <v>28</v>
      </c>
      <c r="E22" s="4">
        <v>100</v>
      </c>
      <c r="F22" s="4">
        <f>(D22/E22)*100</f>
        <v>28.000000000000004</v>
      </c>
      <c r="G22" s="4" t="str">
        <f>IF(F22&gt;=90,"A",IF(F22&gt;=75,"B",IF(F22&gt;=60,"C",IF(F22&gt;=40,"D","F"))))</f>
        <v>F</v>
      </c>
      <c r="H22" s="4" t="str">
        <f>IF(F22&gt;=40,"Pass","Fail")</f>
        <v>Fail</v>
      </c>
    </row>
  </sheetData>
  <autoFilter ref="A2:H22" xr:uid="{8D86C42E-0DC1-430C-8428-1EE2B1FB82A9}">
    <sortState xmlns:xlrd2="http://schemas.microsoft.com/office/spreadsheetml/2017/richdata2" ref="A3:H22">
      <sortCondition descending="1" ref="F1:F22"/>
    </sortState>
  </autoFilter>
  <sortState xmlns:xlrd2="http://schemas.microsoft.com/office/spreadsheetml/2017/richdata2" ref="F3:F22">
    <sortCondition descending="1" ref="F2:F22"/>
  </sortState>
  <conditionalFormatting sqref="H2:H22">
    <cfRule type="cellIs" dxfId="0" priority="2" operator="equal">
      <formula>"fail"</formula>
    </cfRule>
  </conditionalFormatting>
  <conditionalFormatting sqref="D2:D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{82C5CD56-28B5-4ED3-8703-400E8E4E6696}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C5CD56-28B5-4ED3-8703-400E8E4E66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6329B-4758-448F-B8DA-C7D5719BE6EB}">
  <sheetPr>
    <tabColor rgb="FF0070C0"/>
  </sheetPr>
  <dimension ref="A1"/>
  <sheetViews>
    <sheetView workbookViewId="0">
      <selection activeCell="K16" sqref="K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02C4-86B7-4C5E-A7E2-0212295059DF}">
  <sheetPr>
    <tabColor theme="4" tint="-0.499984740745262"/>
  </sheetPr>
  <dimension ref="A3:B9"/>
  <sheetViews>
    <sheetView workbookViewId="0">
      <selection activeCell="C8" sqref="C8"/>
    </sheetView>
  </sheetViews>
  <sheetFormatPr defaultRowHeight="14.4" x14ac:dyDescent="0.3"/>
  <cols>
    <col min="1" max="1" width="15.88671875" bestFit="1" customWidth="1"/>
    <col min="2" max="2" width="22.6640625" bestFit="1" customWidth="1"/>
  </cols>
  <sheetData>
    <row r="3" spans="1:2" x14ac:dyDescent="0.3">
      <c r="A3" s="5" t="s">
        <v>39</v>
      </c>
      <c r="B3" t="s">
        <v>41</v>
      </c>
    </row>
    <row r="4" spans="1:2" x14ac:dyDescent="0.3">
      <c r="A4" s="9" t="s">
        <v>35</v>
      </c>
      <c r="B4" s="6">
        <v>60.666666666666664</v>
      </c>
    </row>
    <row r="5" spans="1:2" x14ac:dyDescent="0.3">
      <c r="A5" s="9" t="s">
        <v>26</v>
      </c>
      <c r="B5" s="6">
        <v>61.8</v>
      </c>
    </row>
    <row r="6" spans="1:2" x14ac:dyDescent="0.3">
      <c r="A6" s="9" t="s">
        <v>9</v>
      </c>
      <c r="B6" s="6">
        <v>71.8</v>
      </c>
    </row>
    <row r="7" spans="1:2" x14ac:dyDescent="0.3">
      <c r="A7" s="9" t="s">
        <v>19</v>
      </c>
      <c r="B7" s="6">
        <v>61.2</v>
      </c>
    </row>
    <row r="8" spans="1:2" x14ac:dyDescent="0.3">
      <c r="A8" s="9" t="s">
        <v>32</v>
      </c>
      <c r="B8" s="6">
        <v>87</v>
      </c>
    </row>
    <row r="9" spans="1:2" x14ac:dyDescent="0.3">
      <c r="A9" s="9" t="s">
        <v>40</v>
      </c>
      <c r="B9" s="6">
        <v>66.5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28EB-786A-4E7D-BFCD-6D2442E3989C}">
  <sheetPr>
    <tabColor rgb="FF0070C0"/>
  </sheetPr>
  <dimension ref="A1:D8"/>
  <sheetViews>
    <sheetView workbookViewId="0">
      <selection activeCell="I19" sqref="I19"/>
    </sheetView>
  </sheetViews>
  <sheetFormatPr defaultRowHeight="14.4" x14ac:dyDescent="0.3"/>
  <cols>
    <col min="2" max="3" width="11.33203125" customWidth="1"/>
  </cols>
  <sheetData>
    <row r="1" spans="1:4" x14ac:dyDescent="0.3">
      <c r="A1" s="10" t="s">
        <v>48</v>
      </c>
      <c r="B1" s="10"/>
      <c r="C1" s="10"/>
    </row>
    <row r="3" spans="1:4" x14ac:dyDescent="0.3">
      <c r="A3" s="2" t="s">
        <v>2</v>
      </c>
      <c r="B3" s="2" t="s">
        <v>42</v>
      </c>
    </row>
    <row r="4" spans="1:4" x14ac:dyDescent="0.3">
      <c r="A4" s="1" t="s">
        <v>9</v>
      </c>
      <c r="B4" s="1" t="s">
        <v>43</v>
      </c>
      <c r="C4" t="s">
        <v>9</v>
      </c>
      <c r="D4" t="str">
        <f>VLOOKUP(C4,A3:B8,2,FALSE)</f>
        <v>Mr. Kumar</v>
      </c>
    </row>
    <row r="5" spans="1:4" x14ac:dyDescent="0.3">
      <c r="A5" s="1" t="s">
        <v>19</v>
      </c>
      <c r="B5" s="1" t="s">
        <v>44</v>
      </c>
      <c r="C5" t="s">
        <v>49</v>
      </c>
      <c r="D5" t="str">
        <f>VLOOKUP(C5,A4:B9,2,FALSE)</f>
        <v>Mr. Ravi</v>
      </c>
    </row>
    <row r="6" spans="1:4" x14ac:dyDescent="0.3">
      <c r="A6" s="1" t="s">
        <v>26</v>
      </c>
      <c r="B6" s="1" t="s">
        <v>45</v>
      </c>
      <c r="C6" t="s">
        <v>50</v>
      </c>
      <c r="D6" t="str">
        <f>VLOOKUP(C6,A4:B8,2,FALSE)</f>
        <v>Ms. Deepika</v>
      </c>
    </row>
    <row r="7" spans="1:4" x14ac:dyDescent="0.3">
      <c r="A7" s="1" t="s">
        <v>32</v>
      </c>
      <c r="B7" s="1" t="s">
        <v>46</v>
      </c>
      <c r="C7" s="1" t="s">
        <v>19</v>
      </c>
      <c r="D7" t="str">
        <f>VLOOKUP(C7,A4:B8,2,FALSE)</f>
        <v>Ms. Priya</v>
      </c>
    </row>
    <row r="8" spans="1:4" x14ac:dyDescent="0.3">
      <c r="A8" s="1" t="s">
        <v>35</v>
      </c>
      <c r="B8" s="1" t="s">
        <v>47</v>
      </c>
      <c r="C8" t="s">
        <v>51</v>
      </c>
      <c r="D8" t="str">
        <f>VLOOKUP(C8,A4:B8,2,FALSE)</f>
        <v>Mrs. Anitha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 Data</vt:lpstr>
      <vt:lpstr>Visualisation</vt:lpstr>
      <vt:lpstr>Pivot table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SeeS</dc:creator>
  <cp:lastModifiedBy>SeeS</cp:lastModifiedBy>
  <dcterms:created xsi:type="dcterms:W3CDTF">2026-06-21T17:40:18Z</dcterms:created>
  <dcterms:modified xsi:type="dcterms:W3CDTF">2026-06-21T18:20:01Z</dcterms:modified>
</cp:coreProperties>
</file>